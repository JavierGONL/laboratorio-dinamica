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it\OneDrive\Desktop\laboratorio dinamica\"/>
    </mc:Choice>
  </mc:AlternateContent>
  <xr:revisionPtr revIDLastSave="0" documentId="8_{E00B2D85-9F1D-4AC7-A13E-4DB115DB5302}" xr6:coauthVersionLast="47" xr6:coauthVersionMax="47" xr10:uidLastSave="{00000000-0000-0000-0000-000000000000}"/>
  <bookViews>
    <workbookView xWindow="-120" yWindow="-120" windowWidth="19440" windowHeight="10440" activeTab="1" xr2:uid="{98E019A0-0015-46D0-910D-F672A459B5FB}"/>
  </bookViews>
  <sheets>
    <sheet name="Vibracion libre" sheetId="2" r:id="rId1"/>
    <sheet name="Vibracion Forzad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I6" i="2"/>
  <c r="I7" i="2"/>
  <c r="G3" i="1"/>
  <c r="G8" i="1"/>
  <c r="G7" i="1"/>
  <c r="G4" i="1"/>
  <c r="G5" i="1"/>
  <c r="G6" i="1"/>
  <c r="K8" i="1"/>
  <c r="K7" i="1"/>
  <c r="D3" i="1"/>
  <c r="E3" i="1" s="1"/>
  <c r="F8" i="1"/>
  <c r="F7" i="1"/>
  <c r="F6" i="1"/>
  <c r="F5" i="1"/>
  <c r="F4" i="1"/>
  <c r="F3" i="1"/>
  <c r="K4" i="1"/>
  <c r="K5" i="1"/>
  <c r="K6" i="1"/>
  <c r="E4" i="1"/>
  <c r="E5" i="1"/>
  <c r="E6" i="1"/>
  <c r="E7" i="1"/>
  <c r="E8" i="1"/>
  <c r="D12" i="2"/>
  <c r="J7" i="2"/>
  <c r="G7" i="2"/>
  <c r="H7" i="2" s="1"/>
  <c r="G6" i="2"/>
  <c r="H6" i="2"/>
  <c r="F6" i="2" s="1"/>
  <c r="D4" i="1"/>
  <c r="D5" i="1"/>
  <c r="D6" i="1"/>
  <c r="D7" i="1"/>
  <c r="D8" i="1"/>
  <c r="J6" i="2" l="1"/>
  <c r="I3" i="1"/>
  <c r="J3" i="1" l="1"/>
  <c r="H3" i="1"/>
  <c r="I4" i="1"/>
  <c r="J4" i="1" l="1"/>
  <c r="H4" i="1"/>
  <c r="I5" i="1"/>
  <c r="H5" i="1" l="1"/>
  <c r="J5" i="1"/>
  <c r="I6" i="1"/>
  <c r="J6" i="1" l="1"/>
  <c r="H6" i="1"/>
  <c r="I7" i="1"/>
  <c r="I8" i="1"/>
  <c r="J7" i="1" l="1"/>
  <c r="H7" i="1"/>
  <c r="H8" i="1"/>
  <c r="J8" i="1"/>
</calcChain>
</file>

<file path=xl/sharedStrings.xml><?xml version="1.0" encoding="utf-8"?>
<sst xmlns="http://schemas.openxmlformats.org/spreadsheetml/2006/main" count="50" uniqueCount="43">
  <si>
    <t>Caso</t>
  </si>
  <si>
    <t>Pm [N]</t>
  </si>
  <si>
    <t>θm_exp [°]</t>
  </si>
  <si>
    <t>θm_teo [°]</t>
  </si>
  <si>
    <t>FA</t>
  </si>
  <si>
    <t>φ_teo [°]</t>
  </si>
  <si>
    <t>φ_exp [°]</t>
  </si>
  <si>
    <t>Abierta</t>
  </si>
  <si>
    <t>Cerrada</t>
  </si>
  <si>
    <t>datos adicionales</t>
  </si>
  <si>
    <t>Datos mecanismo</t>
  </si>
  <si>
    <t>K</t>
  </si>
  <si>
    <t xml:space="preserve">350mV </t>
  </si>
  <si>
    <t>Rango mov</t>
  </si>
  <si>
    <t xml:space="preserve">m_barra </t>
  </si>
  <si>
    <t>N/m</t>
  </si>
  <si>
    <t>mm</t>
  </si>
  <si>
    <t>±15</t>
  </si>
  <si>
    <t>Unidades</t>
  </si>
  <si>
    <t>kg</t>
  </si>
  <si>
    <t>P_m</t>
  </si>
  <si>
    <t>M_h*r*w_f^2</t>
  </si>
  <si>
    <t>M_h</t>
  </si>
  <si>
    <t>r</t>
  </si>
  <si>
    <t>m</t>
  </si>
  <si>
    <t>C_c</t>
  </si>
  <si>
    <t>2m*w_n</t>
  </si>
  <si>
    <t>L</t>
  </si>
  <si>
    <t>D</t>
  </si>
  <si>
    <t>f _f[Hz]</t>
  </si>
  <si>
    <t>Tn</t>
  </si>
  <si>
    <t>f_n</t>
  </si>
  <si>
    <t>w_n</t>
  </si>
  <si>
    <t>EXP</t>
  </si>
  <si>
    <t>TEORICO</t>
  </si>
  <si>
    <t>θ[RAD]</t>
  </si>
  <si>
    <t>θ[°]</t>
  </si>
  <si>
    <t xml:space="preserve">w_n </t>
  </si>
  <si>
    <t>w_f</t>
  </si>
  <si>
    <t>r = ω_f/ω_n</t>
  </si>
  <si>
    <t>ζ</t>
  </si>
  <si>
    <t>abierta</t>
  </si>
  <si>
    <t>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</si>
</sst>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0" xfId="0" applyFont="1"/>
    <xf numFmtId="165" fontId="0" fillId="0" borderId="0" xfId="0" applyNumberFormat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710712</xdr:colOff>
      <xdr:row>8</xdr:row>
      <xdr:rowOff>102577</xdr:rowOff>
    </xdr:from>
    <xdr:to>
      <xdr:col>14</xdr:col>
      <xdr:colOff>397088</xdr:colOff>
      <xdr:row>11</xdr:row>
      <xdr:rowOff>150288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C8B35B-AACD-120D-6589-0C562888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4712" y="1626577"/>
          <a:ext cx="5020376" cy="619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494809</xdr:colOff>
      <xdr:row>9</xdr:row>
      <xdr:rowOff>61633</xdr:rowOff>
    </xdr:from>
    <xdr:to>
      <xdr:col>10</xdr:col>
      <xdr:colOff>283119</xdr:colOff>
      <xdr:row>12</xdr:row>
      <xdr:rowOff>109344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C4E130-AB4C-C33F-AE08-7A8F1B9DC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9372" y="1788039"/>
          <a:ext cx="4755287" cy="619211"/>
        </a:xfrm>
        <a:prstGeom prst="rect">
          <a:avLst/>
        </a:prstGeom>
      </xdr:spPr>
    </xdr:pic>
    <xdr:clientData/>
  </xdr:twoCellAnchor>
  <xdr:twoCellAnchor editAs="oneCell">
    <xdr:from>
      <xdr:col>8</xdr:col>
      <xdr:colOff>198904</xdr:colOff>
      <xdr:row>14</xdr:row>
      <xdr:rowOff>38100</xdr:rowOff>
    </xdr:from>
    <xdr:to>
      <xdr:col>10</xdr:col>
      <xdr:colOff>600344</xdr:colOff>
      <xdr:row>17</xdr:row>
      <xdr:rowOff>133443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EA9811-6E7F-6D41-0559-1CB439849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1054" y="2714625"/>
          <a:ext cx="1925440" cy="666843"/>
        </a:xfrm>
        <a:prstGeom prst="rect">
          <a:avLst/>
        </a:prstGeom>
      </xdr:spPr>
    </xdr:pic>
    <xdr:clientData/>
  </xdr:twoCellAnchor>
  <xdr:twoCellAnchor editAs="oneCell">
    <xdr:from>
      <xdr:col>4</xdr:col>
      <xdr:colOff>372595</xdr:colOff>
      <xdr:row>13</xdr:row>
      <xdr:rowOff>86285</xdr:rowOff>
    </xdr:from>
    <xdr:to>
      <xdr:col>7</xdr:col>
      <xdr:colOff>249079</xdr:colOff>
      <xdr:row>19</xdr:row>
      <xdr:rowOff>708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16BB4E-C414-9B95-3F52-56B5C321E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9595" y="2572310"/>
          <a:ext cx="2219635" cy="105742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142876</xdr:colOff>
      <xdr:row>9</xdr:row>
      <xdr:rowOff>19050</xdr:rowOff>
    </xdr:from>
    <xdr:to>
      <xdr:col>13</xdr:col>
      <xdr:colOff>241020</xdr:colOff>
      <xdr:row>12</xdr:row>
      <xdr:rowOff>133349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C4473D-B29F-E536-AB76-CD96E7ED9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9026" y="1743075"/>
          <a:ext cx="1831694" cy="6857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83E6-9516-497A-A99F-47B6AB0DBCF1}">
  <dimension ref="D4:L12"/>
  <sheetViews>
    <sheetView topLeftCell="C1" zoomScale="130" zoomScaleNormal="130" workbookViewId="0">
      <selection activeCell="I6" sqref="I6"/>
    </sheetView>
  </sheetViews>
  <sheetFormatPr baseColWidth="10" defaultRowHeight="15" x14ac:dyDescent="0.25"/>
  <sheetData>
    <row r="4" spans="4:12" x14ac:dyDescent="0.25">
      <c r="F4" s="6"/>
    </row>
    <row r="5" spans="4:12" x14ac:dyDescent="0.25">
      <c r="E5" s="7"/>
      <c r="F5" s="3" t="s">
        <v>32</v>
      </c>
      <c r="G5" s="3" t="s">
        <v>30</v>
      </c>
      <c r="H5" s="3" t="s">
        <v>31</v>
      </c>
      <c r="I5" s="1" t="s">
        <v>35</v>
      </c>
      <c r="J5" s="1" t="s">
        <v>36</v>
      </c>
    </row>
    <row r="6" spans="4:12" x14ac:dyDescent="0.25">
      <c r="E6" s="3" t="s">
        <v>33</v>
      </c>
      <c r="F6" s="3">
        <f>H6*2*PI()</f>
        <v>32.0570678937734</v>
      </c>
      <c r="G6" s="3">
        <f>196/1000</f>
        <v>0.19600000000000001</v>
      </c>
      <c r="H6" s="3">
        <f>1/G6</f>
        <v>5.1020408163265305</v>
      </c>
      <c r="I6" s="8">
        <f>ATAN((500/350)/119)</f>
        <v>1.2004225278875898E-2</v>
      </c>
      <c r="J6" s="1">
        <f>I6/(2*PI())*360</f>
        <v>0.68779144480384258</v>
      </c>
      <c r="L6" s="13"/>
    </row>
    <row r="7" spans="4:12" x14ac:dyDescent="0.25">
      <c r="E7" s="3" t="s">
        <v>34</v>
      </c>
      <c r="F7" s="3">
        <v>39.67</v>
      </c>
      <c r="G7" s="3">
        <f>2*PI()/F7</f>
        <v>0.15838631981798806</v>
      </c>
      <c r="H7" s="3">
        <f>1/G7</f>
        <v>6.3136765924554883</v>
      </c>
      <c r="I7" s="8">
        <f>ATAN(15/845)</f>
        <v>1.7749615056497612E-2</v>
      </c>
      <c r="J7" s="1">
        <f>I7/(2*PI())*360</f>
        <v>1.0169780307191734</v>
      </c>
    </row>
    <row r="12" spans="4:12" x14ac:dyDescent="0.25">
      <c r="D12">
        <f>((-27.903/239.782)*2*PI() - PI()/2)</f>
        <v>-2.3019592982699528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52F0-1FE4-4166-938A-373B60559995}">
  <dimension ref="A1:O20"/>
  <sheetViews>
    <sheetView tabSelected="1" zoomScaleNormal="100" workbookViewId="0">
      <selection activeCell="O15" sqref="O15"/>
    </sheetView>
  </sheetViews>
  <sheetFormatPr baseColWidth="10" defaultRowHeight="15" x14ac:dyDescent="0.25"/>
  <cols>
    <col min="2" max="2" width="12.28515625" bestFit="1" customWidth="1"/>
    <col min="3" max="3" width="9.42578125" bestFit="1" customWidth="1"/>
    <col min="4" max="4" width="8.28515625" bestFit="1" customWidth="1"/>
    <col min="7" max="7" width="12.28515625" bestFit="1" customWidth="1"/>
    <col min="8" max="8" width="8.140625" bestFit="1" customWidth="1"/>
    <col min="12" max="12" width="7.5703125" bestFit="1" customWidth="1"/>
    <col min="13" max="13" width="7" bestFit="1" customWidth="1"/>
  </cols>
  <sheetData>
    <row r="1" spans="1:15" x14ac:dyDescent="0.25">
      <c r="M1" s="15" t="s">
        <v>9</v>
      </c>
      <c r="N1" s="17"/>
      <c r="O1" s="16"/>
    </row>
    <row r="2" spans="1:15" ht="15.75" x14ac:dyDescent="0.25">
      <c r="B2" s="9" t="s">
        <v>0</v>
      </c>
      <c r="C2" s="9" t="s">
        <v>29</v>
      </c>
      <c r="D2" s="10" t="s">
        <v>38</v>
      </c>
      <c r="E2" s="9" t="s">
        <v>1</v>
      </c>
      <c r="F2" s="9" t="s">
        <v>2</v>
      </c>
      <c r="G2" s="9" t="s">
        <v>3</v>
      </c>
      <c r="H2" s="9" t="s">
        <v>4</v>
      </c>
      <c r="I2" s="9" t="s">
        <v>39</v>
      </c>
      <c r="J2" s="9" t="s">
        <v>5</v>
      </c>
      <c r="K2" s="9" t="s">
        <v>6</v>
      </c>
      <c r="M2" s="9" t="s">
        <v>37</v>
      </c>
      <c r="N2" s="15" t="s">
        <v>40</v>
      </c>
      <c r="O2" s="16"/>
    </row>
    <row r="3" spans="1:15" x14ac:dyDescent="0.25">
      <c r="B3" s="9" t="s">
        <v>7</v>
      </c>
      <c r="C3" s="9">
        <v>4.2</v>
      </c>
      <c r="D3" s="11">
        <f t="shared" ref="D3:D8" si="0">2*C3*PI()</f>
        <v>26.389378290154262</v>
      </c>
      <c r="E3" s="11">
        <f t="shared" ref="E3:E8" si="1">0.05616*0.045*D3^2</f>
        <v>1.7599402769460741</v>
      </c>
      <c r="F3" s="11">
        <f>236.7626/350/119*180/PI()</f>
        <v>0.32570222632758949</v>
      </c>
      <c r="G3" s="11">
        <f>15/119*180/PI()</f>
        <v>7.2221570814809644</v>
      </c>
      <c r="H3" s="11">
        <f>1/((1-(I3)^2)^2+(2*0.00275*I3)^2)^(1/2)</f>
        <v>1.7895353401925622</v>
      </c>
      <c r="I3" s="11">
        <f t="shared" ref="I3:I8" si="2">D3/M3</f>
        <v>0.66423464698719481</v>
      </c>
      <c r="J3" s="2">
        <f>ATAN(2*(0.00275)*(I3)/(1-(I3^2)))*180/PI()</f>
        <v>0.37458485998798541</v>
      </c>
      <c r="K3" s="11">
        <f>((-27/231.284)*2*PI() - PI()/2)*180/PI()</f>
        <v>-132.02625343733246</v>
      </c>
      <c r="M3" s="9">
        <v>39.728999999999999</v>
      </c>
      <c r="N3" s="12" t="s">
        <v>41</v>
      </c>
      <c r="O3" s="9" t="s">
        <v>42</v>
      </c>
    </row>
    <row r="4" spans="1:15" x14ac:dyDescent="0.25">
      <c r="B4" s="9" t="s">
        <v>7</v>
      </c>
      <c r="C4" s="9">
        <v>4.3</v>
      </c>
      <c r="D4" s="11">
        <f t="shared" si="0"/>
        <v>27.017696820872221</v>
      </c>
      <c r="E4" s="11">
        <f t="shared" si="1"/>
        <v>1.8447446553703466</v>
      </c>
      <c r="F4" s="11">
        <f>498.764/350/119*180/PI()</f>
        <v>0.68612418182624235</v>
      </c>
      <c r="G4" s="11">
        <f>15/119*180/PI()</f>
        <v>7.2221570814809644</v>
      </c>
      <c r="H4" s="11">
        <f>1/((1-(I4)^2)^2+(2*0.00275*I4)^2)^(1/2)</f>
        <v>1.8603081933722316</v>
      </c>
      <c r="I4" s="11">
        <f t="shared" si="2"/>
        <v>0.68004975762974706</v>
      </c>
      <c r="J4" s="2">
        <f>ATAN(2*(0.00275)*(I4)/(1-(I4^2)))*180/PI()</f>
        <v>0.39867078871807737</v>
      </c>
      <c r="K4" s="11">
        <f>((-110.096/231.284)*2*PI() - PI()/2)*180/PI()</f>
        <v>-261.36749623839091</v>
      </c>
      <c r="M4" s="9">
        <v>39.728999999999999</v>
      </c>
      <c r="N4" s="9">
        <v>2.7499999999999998E-3</v>
      </c>
      <c r="O4" s="1">
        <v>2.6129999999999999E-3</v>
      </c>
    </row>
    <row r="5" spans="1:15" x14ac:dyDescent="0.25">
      <c r="B5" s="9" t="s">
        <v>7</v>
      </c>
      <c r="C5" s="9">
        <v>4.45</v>
      </c>
      <c r="D5" s="11">
        <f t="shared" si="0"/>
        <v>27.960174616949161</v>
      </c>
      <c r="E5" s="11">
        <f t="shared" si="1"/>
        <v>1.9756925926431201</v>
      </c>
      <c r="F5" s="11">
        <f>435.5449/350/119*180/PI()</f>
        <v>0.59915689215960355</v>
      </c>
      <c r="G5" s="11">
        <f t="shared" ref="G5:G8" si="3">15/119*180/PI()</f>
        <v>7.2221570814809644</v>
      </c>
      <c r="H5" s="11">
        <f>1/((1-(I5)^2)^2+(2*0.00275*I5)^2)^(1/2)</f>
        <v>1.9812996278519079</v>
      </c>
      <c r="I5" s="11">
        <f t="shared" si="2"/>
        <v>0.7037724235935755</v>
      </c>
      <c r="J5" s="2">
        <f>ATAN(2*(0.00275)*(I5)/(1-(I5^2)))*180/PI()</f>
        <v>0.43941207054949749</v>
      </c>
      <c r="K5" s="11">
        <f>((-67.185/224.13)*2*PI()-PI()/2)*180/PI()</f>
        <v>-197.91326462320973</v>
      </c>
      <c r="M5" s="9">
        <v>39.728999999999999</v>
      </c>
    </row>
    <row r="6" spans="1:15" x14ac:dyDescent="0.25">
      <c r="B6" s="9" t="s">
        <v>8</v>
      </c>
      <c r="C6" s="9">
        <v>4.2</v>
      </c>
      <c r="D6" s="11">
        <f t="shared" si="0"/>
        <v>26.389378290154262</v>
      </c>
      <c r="E6" s="11">
        <f t="shared" si="1"/>
        <v>1.7599402769460741</v>
      </c>
      <c r="F6" s="11">
        <f>276/350/119*180/PI()</f>
        <v>0.37967911514071362</v>
      </c>
      <c r="G6" s="11">
        <f t="shared" si="3"/>
        <v>7.2221570814809644</v>
      </c>
      <c r="H6" s="11">
        <f>1/((1-(I6)^2)^2+(2*O4*I6)^2)^(1/2)</f>
        <v>1.7895390557467579</v>
      </c>
      <c r="I6" s="11">
        <f t="shared" si="2"/>
        <v>0.66423464698719481</v>
      </c>
      <c r="J6" s="2">
        <f>ATAN(2*(O4)*(I6)/(1-(I6^2)))*180/PI()</f>
        <v>0.3559242159911899</v>
      </c>
      <c r="K6" s="11">
        <f>((-112.393/236.99)*2*PI() - PI()/2)*180/PI()</f>
        <v>-260.73074813283262</v>
      </c>
      <c r="M6" s="9">
        <v>39.728999999999999</v>
      </c>
    </row>
    <row r="7" spans="1:15" x14ac:dyDescent="0.25">
      <c r="B7" s="9" t="s">
        <v>8</v>
      </c>
      <c r="C7" s="9">
        <v>4.3</v>
      </c>
      <c r="D7" s="11">
        <f t="shared" si="0"/>
        <v>27.017696820872221</v>
      </c>
      <c r="E7" s="11">
        <f t="shared" si="1"/>
        <v>1.8447446553703466</v>
      </c>
      <c r="F7" s="11">
        <f>268.7626/350/119*180/PI()</f>
        <v>0.36972299330042591</v>
      </c>
      <c r="G7" s="11">
        <f t="shared" si="3"/>
        <v>7.2221570814809644</v>
      </c>
      <c r="H7" s="11">
        <f>1/((1-(I7)^2)^2+(2*O4*I7)^2)^(1/2)</f>
        <v>1.8603125685526714</v>
      </c>
      <c r="I7" s="11">
        <f t="shared" si="2"/>
        <v>0.68004975762974706</v>
      </c>
      <c r="J7" s="2">
        <f>ATAN(2*(O4)*(I7)/(1-(I7^2)))*180/PI()</f>
        <v>0.37881032882130466</v>
      </c>
      <c r="K7" s="11">
        <f>((-91.423/232.653)*2*PI() - PI()/2)</f>
        <v>-4.039828105187091</v>
      </c>
      <c r="M7" s="9">
        <v>39.728999999999999</v>
      </c>
    </row>
    <row r="8" spans="1:15" x14ac:dyDescent="0.25">
      <c r="B8" s="9" t="s">
        <v>8</v>
      </c>
      <c r="C8" s="9">
        <v>4.45</v>
      </c>
      <c r="D8" s="11">
        <f t="shared" si="0"/>
        <v>27.960174616949161</v>
      </c>
      <c r="E8" s="11">
        <f t="shared" si="1"/>
        <v>1.9756925926431201</v>
      </c>
      <c r="F8" s="11">
        <f>196.7626/350/119*180/PI()</f>
        <v>0.27067626761154412</v>
      </c>
      <c r="G8" s="11">
        <f t="shared" si="3"/>
        <v>7.2221570814809644</v>
      </c>
      <c r="H8" s="11">
        <f>1/((1-(I8)^2)^2+(2*O4*I8)^2)^(1/2)</f>
        <v>1.9813052886176898</v>
      </c>
      <c r="I8" s="11">
        <f t="shared" si="2"/>
        <v>0.7037724235935755</v>
      </c>
      <c r="J8" s="2">
        <f>ATAN(2*(O4)*(I8)/(1-(I8^2)))*180/PI()</f>
        <v>0.41752215539740956</v>
      </c>
      <c r="K8" s="11">
        <f>((65/223.473)*2*PI() - PI()/2)</f>
        <v>0.256749036477951</v>
      </c>
      <c r="M8" s="9">
        <v>39.728999999999999</v>
      </c>
    </row>
    <row r="10" spans="1:15" x14ac:dyDescent="0.25">
      <c r="A10" s="14" t="s">
        <v>10</v>
      </c>
      <c r="B10" s="14"/>
      <c r="C10" s="4" t="s">
        <v>18</v>
      </c>
    </row>
    <row r="11" spans="1:15" x14ac:dyDescent="0.25">
      <c r="A11" s="1" t="s">
        <v>11</v>
      </c>
      <c r="B11" s="1">
        <v>3000</v>
      </c>
      <c r="C11" s="1" t="s">
        <v>15</v>
      </c>
    </row>
    <row r="12" spans="1:15" x14ac:dyDescent="0.25">
      <c r="A12" s="1" t="s">
        <v>12</v>
      </c>
      <c r="B12" s="1">
        <v>1</v>
      </c>
      <c r="C12" s="1" t="s">
        <v>16</v>
      </c>
    </row>
    <row r="13" spans="1:15" x14ac:dyDescent="0.25">
      <c r="A13" s="1" t="s">
        <v>13</v>
      </c>
      <c r="B13" s="5" t="s">
        <v>17</v>
      </c>
      <c r="C13" s="1" t="s">
        <v>16</v>
      </c>
    </row>
    <row r="14" spans="1:15" x14ac:dyDescent="0.25">
      <c r="A14" s="1" t="s">
        <v>14</v>
      </c>
      <c r="B14" s="1">
        <v>2.1</v>
      </c>
      <c r="C14" s="1" t="s">
        <v>19</v>
      </c>
    </row>
    <row r="15" spans="1:15" x14ac:dyDescent="0.25">
      <c r="A15" s="1" t="s">
        <v>20</v>
      </c>
      <c r="B15" s="1" t="s">
        <v>21</v>
      </c>
      <c r="C15" s="1"/>
    </row>
    <row r="16" spans="1:15" x14ac:dyDescent="0.25">
      <c r="A16" s="1" t="s">
        <v>22</v>
      </c>
      <c r="B16" s="1">
        <v>5.6160000000000002E-2</v>
      </c>
      <c r="C16" s="1" t="s">
        <v>19</v>
      </c>
    </row>
    <row r="17" spans="1:3" x14ac:dyDescent="0.25">
      <c r="A17" s="1" t="s">
        <v>23</v>
      </c>
      <c r="B17" s="1">
        <v>4.4999999999999998E-2</v>
      </c>
      <c r="C17" s="1" t="s">
        <v>24</v>
      </c>
    </row>
    <row r="18" spans="1:3" x14ac:dyDescent="0.25">
      <c r="A18" s="1" t="s">
        <v>25</v>
      </c>
      <c r="B18" s="1" t="s">
        <v>26</v>
      </c>
      <c r="C18" s="1"/>
    </row>
    <row r="19" spans="1:3" x14ac:dyDescent="0.25">
      <c r="A19" s="1" t="s">
        <v>27</v>
      </c>
      <c r="B19" s="1"/>
      <c r="C19" s="1"/>
    </row>
    <row r="20" spans="1:3" x14ac:dyDescent="0.25">
      <c r="A20" s="1" t="s">
        <v>28</v>
      </c>
      <c r="B20" s="1">
        <v>0.11899999999999999</v>
      </c>
      <c r="C20" s="1" t="s">
        <v>24</v>
      </c>
    </row>
  </sheetData>
  <mergeCells count="3">
    <mergeCell ref="A10:B10"/>
    <mergeCell ref="N2:O2"/>
    <mergeCell ref="M1:O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F3B70BEA3A434BAD9E84C3E9DAC580" ma:contentTypeVersion="13" ma:contentTypeDescription="Crear nuevo documento." ma:contentTypeScope="" ma:versionID="043bb5c95023d6f375bb73b2560ab904">
  <xsd:schema xmlns:xsd="http://www.w3.org/2001/XMLSchema" xmlns:xs="http://www.w3.org/2001/XMLSchema" xmlns:p="http://schemas.microsoft.com/office/2006/metadata/properties" xmlns:ns3="dd3c33fe-e93b-4e7a-81e0-06652996fea7" xmlns:ns4="ee7019a3-2625-450a-8c7e-d17a1a992f0f" targetNamespace="http://schemas.microsoft.com/office/2006/metadata/properties" ma:root="true" ma:fieldsID="d0adb61c8ac3509bd5b62140ce0ef936" ns3:_="" ns4:_="">
    <xsd:import namespace="dd3c33fe-e93b-4e7a-81e0-06652996fea7"/>
    <xsd:import namespace="ee7019a3-2625-450a-8c7e-d17a1a992f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c33fe-e93b-4e7a-81e0-06652996f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019a3-2625-450a-8c7e-d17a1a992f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3c33fe-e93b-4e7a-81e0-06652996fea7" xsi:nil="true"/>
  </documentManagement>
</p:properties>
</file>

<file path=customXml/itemProps1.xml><?xml version="1.0" encoding="utf-8"?>
<ds:datastoreItem xmlns:ds="http://schemas.openxmlformats.org/officeDocument/2006/customXml" ds:itemID="{2181E56A-6E69-46D0-B1DE-4030D619D9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27D3FF-F4A9-4D30-9DA9-A614DD443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3c33fe-e93b-4e7a-81e0-06652996fea7"/>
    <ds:schemaRef ds:uri="ee7019a3-2625-450a-8c7e-d17a1a992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029DAD-5181-4852-93E9-2F88E6142A82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ee7019a3-2625-450a-8c7e-d17a1a992f0f"/>
    <ds:schemaRef ds:uri="dd3c33fe-e93b-4e7a-81e0-06652996fea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Vibracion libre</vt:lpstr>
      <vt:lpstr>Vibracion Forzada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javier gonzalez luna</dc:creator>
  <cp:lastModifiedBy>kevin javier gonzalez luna</cp:lastModifiedBy>
  <dcterms:created xsi:type="dcterms:W3CDTF">2025-11-26T00:30:01Z</dcterms:created>
  <dcterms:modified xsi:type="dcterms:W3CDTF">2025-12-03T21:55:56Z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0x010100E8F3B70BEA3A434BAD9E84C3E9DAC580</vt:lpwstr>
  </property>
</Properties>
</file>